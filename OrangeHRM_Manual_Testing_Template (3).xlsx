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BACKUP\BACKUP D\OrangeHRM Manual Testing\"/>
    </mc:Choice>
  </mc:AlternateContent>
  <xr:revisionPtr revIDLastSave="0" documentId="8_{E49FAA54-FDD8-432C-A62F-D42F55C14CC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Functional Test Cases" sheetId="1" r:id="rId1"/>
    <sheet name="Smoke Test Suite" sheetId="2" r:id="rId2"/>
    <sheet name="Regression Suite" sheetId="3" r:id="rId3"/>
    <sheet name="Sanity Checklist" sheetId="4" r:id="rId4"/>
    <sheet name="Defect Log" sheetId="5" r:id="rId5"/>
    <sheet name="Test Summary Report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6" l="1"/>
  <c r="B14" i="6"/>
  <c r="B13" i="6"/>
  <c r="B12" i="6"/>
  <c r="B8" i="6"/>
  <c r="B7" i="6"/>
  <c r="B6" i="6"/>
  <c r="B5" i="6"/>
  <c r="B9" i="6" s="1"/>
  <c r="B4" i="6"/>
</calcChain>
</file>

<file path=xl/sharedStrings.xml><?xml version="1.0" encoding="utf-8"?>
<sst xmlns="http://schemas.openxmlformats.org/spreadsheetml/2006/main" count="435" uniqueCount="243">
  <si>
    <t>OrangeHRM Manual Testing – Functional Test Cases</t>
  </si>
  <si>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</si>
  <si>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</si>
  <si>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</si>
  <si>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</si>
  <si>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</si>
  <si>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</si>
  <si>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</si>
  <si>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</si>
  <si>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Priority</t>
  </si>
  <si>
    <t>Tester Name</t>
  </si>
  <si>
    <t>Date</t>
  </si>
  <si>
    <t>Jira Key</t>
  </si>
  <si>
    <t>TC_LOGIN_01</t>
  </si>
  <si>
    <t>Login</t>
  </si>
  <si>
    <t>Verify login with valid credentials</t>
  </si>
  <si>
    <t>1. Go to login page
2. Enter valid username
3. Enter valid password
4. Click Login</t>
  </si>
  <si>
    <t>Username: Admin
Password: admin123</t>
  </si>
  <si>
    <t>User is redirected to Dashboard</t>
  </si>
  <si>
    <t>User was redirected to the Dashboard page as expected</t>
  </si>
  <si>
    <t>Pass</t>
  </si>
  <si>
    <t>High</t>
  </si>
  <si>
    <t>Your Name</t>
  </si>
  <si>
    <t>01-Jul-2026</t>
  </si>
  <si>
    <t>TC_LOGIN_02</t>
  </si>
  <si>
    <t>Verify login with invalid password</t>
  </si>
  <si>
    <t>1. Go to login page
2. Enter valid username
3. Enter invalid password
4. Click Login</t>
  </si>
  <si>
    <t>Username: Admin
Password: wrong123</t>
  </si>
  <si>
    <t>Error message 'Invalid credentials' is displayed</t>
  </si>
  <si>
    <t>Error message 'Invalid credentials' displayed correctly below the password field</t>
  </si>
  <si>
    <t>TC_LOGIN_03</t>
  </si>
  <si>
    <t>Verify login with empty username and password</t>
  </si>
  <si>
    <t>1. Go to login page
2. Leave fields blank
3. Click Login</t>
  </si>
  <si>
    <t>Username: (blank)
Password: (blank)</t>
  </si>
  <si>
    <t>Validation message 'Required' shown under both fields</t>
  </si>
  <si>
    <t>Validation messages 'Required' shown under both Username and Password fields</t>
  </si>
  <si>
    <t>Medium</t>
  </si>
  <si>
    <t>TC_LOGIN_04</t>
  </si>
  <si>
    <t>Verify 'Forgot Password' link functionality</t>
  </si>
  <si>
    <t>1. Click 'Forgot your password?' link
2. Enter registered username
3. Click Reset Password</t>
  </si>
  <si>
    <t>Username: Admin</t>
  </si>
  <si>
    <t>Password reset confirmation message is displayed</t>
  </si>
  <si>
    <t>Password reset confirmation message displayed on screen</t>
  </si>
  <si>
    <t>Low</t>
  </si>
  <si>
    <t>TC_LOGIN_05</t>
  </si>
  <si>
    <t>Verify SQL injection attempt in login fields</t>
  </si>
  <si>
    <t>1. Enter SQL injection string in username
2. Enter any password
3. Click Login</t>
  </si>
  <si>
    <t>Username: ' OR '1'='1
Password: anything</t>
  </si>
  <si>
    <t>Login fails; no unauthorized access granted</t>
  </si>
  <si>
    <t>Login was rejected; no unauthorized access occurred</t>
  </si>
  <si>
    <t>TC_PIM_01</t>
  </si>
  <si>
    <t>PIM</t>
  </si>
  <si>
    <t>Verify adding a new employee</t>
  </si>
  <si>
    <t>1. Go to PIM module
2. Click 'Add Employee'
3. Enter first and last name
4. Click Save</t>
  </si>
  <si>
    <t>First Name: John
Last Name: Doe</t>
  </si>
  <si>
    <t>New employee is created and profile page opens</t>
  </si>
  <si>
    <t>New employee 'John Doe' created successfully; profile page opened</t>
  </si>
  <si>
    <t>TC_PIM_02</t>
  </si>
  <si>
    <t>Verify editing existing employee details</t>
  </si>
  <si>
    <t>1. Go to PIM &gt; Employee List
2. Open an employee record
3. Edit contact details
4. Click Save</t>
  </si>
  <si>
    <t>Mobile: 0771234567</t>
  </si>
  <si>
    <t>Updated details are saved and displayed correctly</t>
  </si>
  <si>
    <t>Mobile number updated and saved correctly on the employee record</t>
  </si>
  <si>
    <t>TC_PIM_03</t>
  </si>
  <si>
    <t>Verify deleting an employee record</t>
  </si>
  <si>
    <t>1. Go to PIM &gt; Employee List
2. Select an employee checkbox
3. Click Delete
4. Confirm deletion</t>
  </si>
  <si>
    <t>Employee: John Doe</t>
  </si>
  <si>
    <t>Employee record is removed from the list</t>
  </si>
  <si>
    <t>Employee record removed successfully from the Employee List</t>
  </si>
  <si>
    <t>TC_PIM_04</t>
  </si>
  <si>
    <t>Verify search employee by name</t>
  </si>
  <si>
    <t>1. Go to PIM &gt; Employee List
2. Enter employee name in search box
3. Click Search</t>
  </si>
  <si>
    <t>Name: John</t>
  </si>
  <si>
    <t>Matching employee record(s) displayed in results</t>
  </si>
  <si>
    <t>Search returned the correct matching employee record</t>
  </si>
  <si>
    <t>TC_PIM_05</t>
  </si>
  <si>
    <t>Verify uploading employee profile picture</t>
  </si>
  <si>
    <t>1. Open employee profile
2. Click Upload Picture
3. Select image file
4. Click Save</t>
  </si>
  <si>
    <t>Image: profile.jpg (&lt;1MB)</t>
  </si>
  <si>
    <t>Profile picture uploads and displays correctly</t>
  </si>
  <si>
    <t>File uploaded successfully with NO size validation shown for files over 2MB (bug)</t>
  </si>
  <si>
    <t>Fail</t>
  </si>
  <si>
    <t>OHR-1</t>
  </si>
  <si>
    <t>TC_LEAVE_01</t>
  </si>
  <si>
    <t>Leave</t>
  </si>
  <si>
    <t>Verify applying for leave</t>
  </si>
  <si>
    <t>1. Go to Leave module
2. Click 'Apply'
3. Select leave type and dates
4. Click Apply</t>
  </si>
  <si>
    <t>Leave Type: Annual
Date: 10-Jul-2026</t>
  </si>
  <si>
    <t>Leave request submitted successfully with 'Pending Approval' status</t>
  </si>
  <si>
    <t>TC_LEAVE_02</t>
  </si>
  <si>
    <t>Verify cancelling a submitted leave request</t>
  </si>
  <si>
    <t>1. Go to Leave &gt; My Leave
2. Select pending leave request
3. Click Cancel</t>
  </si>
  <si>
    <t>Leave request from TC_LEAVE_01</t>
  </si>
  <si>
    <t>Leave request status changes to 'Cancelled'</t>
  </si>
  <si>
    <t>Leave request status changed to 'Cancelled' as expected</t>
  </si>
  <si>
    <t>TC_LEAVE_03</t>
  </si>
  <si>
    <t>Verify approving a leave request as admin</t>
  </si>
  <si>
    <t>1. Login as Admin/Supervisor
2. Go to Leave List
3. Select pending request
4. Click Approve</t>
  </si>
  <si>
    <t>Leave request from an employee</t>
  </si>
  <si>
    <t>Leave status updates to 'Approved'</t>
  </si>
  <si>
    <t>Leave status updated to 'Approved' successfully</t>
  </si>
  <si>
    <t>TC_LEAVE_04</t>
  </si>
  <si>
    <t>Verify leave balance updates after approval</t>
  </si>
  <si>
    <t>1. Note leave balance before approval
2. Approve a leave request
3. Check leave balance again</t>
  </si>
  <si>
    <t>Leave Type: Annual</t>
  </si>
  <si>
    <t>Leave balance decreases by the approved number of days</t>
  </si>
  <si>
    <t>Leave balance did not refresh immediately on the same page without a manual reload (bug)</t>
  </si>
  <si>
    <t>OHR-2</t>
  </si>
  <si>
    <t>TC_ADMIN_01</t>
  </si>
  <si>
    <t>Admin</t>
  </si>
  <si>
    <t>Verify adding a new system user</t>
  </si>
  <si>
    <t>1. Go to Admin &gt; User Management
2. Click 'Add'
3. Fill user details and role
4. Click Save</t>
  </si>
  <si>
    <t>Username: testuser1
Role: ESS</t>
  </si>
  <si>
    <t>New user is created and appears in user list</t>
  </si>
  <si>
    <t>New user 'testuser1' created and appeared in the User Management list</t>
  </si>
  <si>
    <t>TC_ADMIN_02</t>
  </si>
  <si>
    <t>Verify assigning admin role to a user</t>
  </si>
  <si>
    <t>1. Go to Admin &gt; User Management
2. Edit a user
3. Change role to Admin
4. Click Save</t>
  </si>
  <si>
    <t>User: testuser1</t>
  </si>
  <si>
    <t>User role updates to Admin successfully</t>
  </si>
  <si>
    <t>User role updated to Admin successfully</t>
  </si>
  <si>
    <t>TC_ADMIN_03</t>
  </si>
  <si>
    <t>Verify deactivating a user account</t>
  </si>
  <si>
    <t>1. Go to Admin &gt; User Management
2. Select user
3. Change status to Disabled
4. Save</t>
  </si>
  <si>
    <t>User status changes to Disabled; user cannot log in</t>
  </si>
  <si>
    <t>User status changed to Disabled; login blocked for that user</t>
  </si>
  <si>
    <t>TC_DASH_01</t>
  </si>
  <si>
    <t>Dashboard</t>
  </si>
  <si>
    <t>Verify dashboard widgets load correctly</t>
  </si>
  <si>
    <t>1. Login to application
2. Land on Dashboard page</t>
  </si>
  <si>
    <t>N/A</t>
  </si>
  <si>
    <t>All widgets (Time at Work, My Actions, Quick Launch, etc.) load without error</t>
  </si>
  <si>
    <t>All dashboard widgets loaded correctly without errors</t>
  </si>
  <si>
    <t>TC_DASH_02</t>
  </si>
  <si>
    <t>Verify Quick Launch panel navigation</t>
  </si>
  <si>
    <t>1. On Dashboard, click a Quick Launch icon (e.g., Assign Leave)</t>
  </si>
  <si>
    <t>User is navigated to the correct corresponding module page</t>
  </si>
  <si>
    <t>Quick Launch icon navigated to the correct module page</t>
  </si>
  <si>
    <t>TC_LOGOUT_01</t>
  </si>
  <si>
    <t>Logout</t>
  </si>
  <si>
    <t>Verify logout functionality</t>
  </si>
  <si>
    <t>1. Click user profile icon top-right
2. Click 'Logout'</t>
  </si>
  <si>
    <t>User is logged out and redirected to login page</t>
  </si>
  <si>
    <t>Error message text overlapped the input field when browser width was below 768px (bug)</t>
  </si>
  <si>
    <t>OHR-3</t>
  </si>
  <si>
    <t>Smoke Test Suite – Critical Path Checks</t>
  </si>
  <si>
    <t>Run before deeper testing to confirm build stability</t>
  </si>
  <si>
    <t>SM_01</t>
  </si>
  <si>
    <t>User can log in with valid credentials</t>
  </si>
  <si>
    <t>Dashboard loads successfully</t>
  </si>
  <si>
    <t>SM_02</t>
  </si>
  <si>
    <t>Dashboard widgets load without error</t>
  </si>
  <si>
    <t>All widgets render</t>
  </si>
  <si>
    <t>SM_03</t>
  </si>
  <si>
    <t>Employee list page loads</t>
  </si>
  <si>
    <t>Employee list displays with data</t>
  </si>
  <si>
    <t>SM_04</t>
  </si>
  <si>
    <t>New employee can be added</t>
  </si>
  <si>
    <t>Employee saved successfully</t>
  </si>
  <si>
    <t>SM_05</t>
  </si>
  <si>
    <t>Leave application page loads</t>
  </si>
  <si>
    <t>Apply Leave form displays</t>
  </si>
  <si>
    <t>SM_06</t>
  </si>
  <si>
    <t>Leave request can be submitted</t>
  </si>
  <si>
    <t>Leave request created with Pending status</t>
  </si>
  <si>
    <t>SM_07</t>
  </si>
  <si>
    <t>User Management page loads</t>
  </si>
  <si>
    <t>User list displays with data</t>
  </si>
  <si>
    <t>SM_08</t>
  </si>
  <si>
    <t>User can log out successfully</t>
  </si>
  <si>
    <t>Redirected to login page</t>
  </si>
  <si>
    <t>Regression Test Suite</t>
  </si>
  <si>
    <t>Re-executed after fixes/changes to confirm no new defects introduced</t>
  </si>
  <si>
    <t>RG_01</t>
  </si>
  <si>
    <t>Valid login still works after change</t>
  </si>
  <si>
    <t>02-Jul-2026</t>
  </si>
  <si>
    <t>RG_02</t>
  </si>
  <si>
    <t>Add employee still works after fix</t>
  </si>
  <si>
    <t>RG_03</t>
  </si>
  <si>
    <t>Edit employee still works after fix</t>
  </si>
  <si>
    <t>Details updated and saved</t>
  </si>
  <si>
    <t>RG_04</t>
  </si>
  <si>
    <t>Delete employee still works after fix</t>
  </si>
  <si>
    <t>Employee removed from list</t>
  </si>
  <si>
    <t>RG_05</t>
  </si>
  <si>
    <t>Apply leave still works after fix</t>
  </si>
  <si>
    <t>Leave request created</t>
  </si>
  <si>
    <t>RG_06</t>
  </si>
  <si>
    <t>Approve leave still works after fix</t>
  </si>
  <si>
    <t>Leave status updates to Approved</t>
  </si>
  <si>
    <t>RG_07</t>
  </si>
  <si>
    <t>Add user still works after fix</t>
  </si>
  <si>
    <t>New user created successfully</t>
  </si>
  <si>
    <t>Sanity Test Checklist</t>
  </si>
  <si>
    <t>Narrow, focused re-checks on a specific feature area after a fix</t>
  </si>
  <si>
    <t>Check ID</t>
  </si>
  <si>
    <t>Feature Area Checked</t>
  </si>
  <si>
    <t>Check Description</t>
  </si>
  <si>
    <t>Result</t>
  </si>
  <si>
    <t>SN_01</t>
  </si>
  <si>
    <t>Employee Search</t>
  </si>
  <si>
    <t>Confirm search returns correct result after filter update</t>
  </si>
  <si>
    <t>03-Jul-2026</t>
  </si>
  <si>
    <t>SN_02</t>
  </si>
  <si>
    <t>Leave Balance</t>
  </si>
  <si>
    <t>Confirm balance recalculates correctly after approval fix</t>
  </si>
  <si>
    <t>SN_03</t>
  </si>
  <si>
    <t>Login Validation</t>
  </si>
  <si>
    <t>Confirm error message displays correctly after UI fix</t>
  </si>
  <si>
    <t>Defect Log (Jira Reference)</t>
  </si>
  <si>
    <t>Mirrors defects logged in Jira for this project</t>
  </si>
  <si>
    <t>Defect ID</t>
  </si>
  <si>
    <t>Summary</t>
  </si>
  <si>
    <t>Steps to Reproduce</t>
  </si>
  <si>
    <t>Severity</t>
  </si>
  <si>
    <t>Assigned To</t>
  </si>
  <si>
    <t>Date Logged</t>
  </si>
  <si>
    <t>DEF_01</t>
  </si>
  <si>
    <t>Profile picture upload accepts files &gt;2MB without validation error</t>
  </si>
  <si>
    <t>1. Open employee profile
2. Upload image &gt;2MB
3. Click Save</t>
  </si>
  <si>
    <t>Open</t>
  </si>
  <si>
    <t>Dev Team</t>
  </si>
  <si>
    <t>DEF_02</t>
  </si>
  <si>
    <t>Leave balance not refreshed immediately after approval on same page</t>
  </si>
  <si>
    <t>1. Approve leave
2. Check balance widget without refresh</t>
  </si>
  <si>
    <t>DEF_03</t>
  </si>
  <si>
    <t>Error message text overlaps with input field on small screen widths</t>
  </si>
  <si>
    <t>1. Resize browser to &lt;768px
2. Enter invalid login
3. Observe error message</t>
  </si>
  <si>
    <t>In Progress</t>
  </si>
  <si>
    <t>Test Summary Report</t>
  </si>
  <si>
    <t>Metric</t>
  </si>
  <si>
    <t>Value</t>
  </si>
  <si>
    <t>Total Test Cases</t>
  </si>
  <si>
    <t>Passed</t>
  </si>
  <si>
    <t>Failed</t>
  </si>
  <si>
    <t>Blocked</t>
  </si>
  <si>
    <t>Not Executed</t>
  </si>
  <si>
    <t>Pass %</t>
  </si>
  <si>
    <t>Defect Summary</t>
  </si>
  <si>
    <t>Total Defects Logged</t>
  </si>
  <si>
    <t>Closed</t>
  </si>
  <si>
    <t>Geethmi Uduwana</t>
  </si>
  <si>
    <t>Application: OrangeHRM Demo (https://opensource-demo.orangehrmlive.com/)  |  Tester: Geethmi Uduwana  |  Date: 6/1/2026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</si>
</sst>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4"/>
      <color rgb="FF305496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2"/>
      <color rgb="FF305496"/>
      <name val="Arial"/>
      <charset val="1"/>
    </font>
    <font>
      <b/>
      <sz val="14"/>
      <color rgb="FFFF0000"/>
      <name val="Arial"/>
      <family val="2"/>
    </font>
    <font>
      <b/>
      <sz val="10"/>
      <color rgb="FF00206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595959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  <fill>
      <patternFill patternType="solid">
        <fgColor rgb="FF00B050"/>
        <bgColor rgb="FF59595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Border="1" applyAlignment="1"/>
    <xf numFmtId="0" fontId="1" fillId="0" borderId="0" xfId="0" applyFont="1" applyBorder="1" applyAlignment="1"/>
    <xf numFmtId="0" fontId="0" fillId="0" borderId="0" xfId="0" applyAlignme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/>
    <xf numFmtId="164" fontId="4" fillId="0" borderId="1" xfId="0" applyNumberFormat="1" applyFont="1" applyBorder="1" applyAlignment="1"/>
    <xf numFmtId="164" fontId="0" fillId="0" borderId="0" xfId="0" applyNumberFormat="1"/>
    <xf numFmtId="0" fontId="5" fillId="0" borderId="0" xfId="0" applyFont="1" applyAlignment="1"/>
    <xf numFmtId="0" fontId="3" fillId="5" borderId="1" xfId="0" applyFont="1" applyFill="1" applyBorder="1" applyAlignment="1">
      <alignment horizontal="center" vertical="center" wrapText="1"/>
    </xf>
    <xf numFmtId="15" fontId="4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6" fillId="0" borderId="0" xfId="0" applyFont="1" applyBorder="1" applyAlignment="1"/>
    <xf numFmtId="0" fontId="7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showGridLines="0" tabSelected="1" zoomScaleNormal="100" workbookViewId="0">
      <pane ySplit="4" topLeftCell="A5" activePane="bottomLeft" state="frozen"/>
      <selection pane="bottomLeft" activeCell="E3" sqref="E3"/>
    </sheetView>
  </sheetViews>
  <sheetFormatPr defaultColWidth="8.7109375" defaultRowHeight="15" x14ac:dyDescent="0.25"/>
  <cols>
    <col min="1" max="1" width="19.28515625" style="3" customWidth="1"/>
    <col min="2" max="2" width="19.42578125" style="3" customWidth="1"/>
    <col min="3" max="3" width="33.5703125" style="3" customWidth="1"/>
    <col min="4" max="4" width="38" style="3" customWidth="1"/>
    <col min="5" max="5" width="28.85546875" style="3" customWidth="1"/>
    <col min="6" max="6" width="43" style="3" customWidth="1"/>
    <col min="7" max="7" width="41.85546875" style="3" customWidth="1"/>
    <col min="8" max="8" width="15.7109375" style="12" customWidth="1"/>
    <col min="9" max="9" width="17.85546875" style="3" customWidth="1"/>
    <col min="10" max="10" width="24.42578125" style="3" customWidth="1"/>
    <col min="11" max="11" width="28.140625" style="12" customWidth="1"/>
  </cols>
  <sheetData>
    <row r="1" spans="1:11" ht="17.25" customHeight="1" x14ac:dyDescent="0.25">
      <c r="A1" s="15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" customHeight="1" x14ac:dyDescent="0.25">
      <c r="A2" s="16" t="s">
        <v>242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 spans="1:11" ht="15" customHeight="1" x14ac:dyDescent="0.25">
      <c r="A4" s="10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  <c r="K4" s="10" t="s">
        <v>11</v>
      </c>
    </row>
    <row r="5" spans="1:11" ht="60" customHeight="1" x14ac:dyDescent="0.25">
      <c r="A5" s="5" t="s">
        <v>13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13" t="s">
        <v>20</v>
      </c>
      <c r="I5" s="5" t="s">
        <v>21</v>
      </c>
      <c r="J5" s="5" t="s">
        <v>241</v>
      </c>
      <c r="K5" s="11">
        <v>46174</v>
      </c>
    </row>
    <row r="6" spans="1:11" ht="60" customHeight="1" x14ac:dyDescent="0.25">
      <c r="A6" s="5" t="s">
        <v>24</v>
      </c>
      <c r="B6" s="5" t="s">
        <v>14</v>
      </c>
      <c r="C6" s="5" t="s">
        <v>25</v>
      </c>
      <c r="D6" s="5" t="s">
        <v>26</v>
      </c>
      <c r="E6" s="5" t="s">
        <v>27</v>
      </c>
      <c r="F6" s="5" t="s">
        <v>28</v>
      </c>
      <c r="G6" s="5" t="s">
        <v>29</v>
      </c>
      <c r="H6" s="13" t="s">
        <v>20</v>
      </c>
      <c r="I6" s="5" t="s">
        <v>21</v>
      </c>
      <c r="J6" s="5" t="s">
        <v>241</v>
      </c>
      <c r="K6" s="11">
        <v>46174</v>
      </c>
    </row>
    <row r="7" spans="1:11" ht="60" customHeight="1" x14ac:dyDescent="0.25">
      <c r="A7" s="5" t="s">
        <v>30</v>
      </c>
      <c r="B7" s="5" t="s">
        <v>14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13" t="s">
        <v>20</v>
      </c>
      <c r="I7" s="5" t="s">
        <v>36</v>
      </c>
      <c r="J7" s="5" t="s">
        <v>241</v>
      </c>
      <c r="K7" s="11">
        <v>46174</v>
      </c>
    </row>
    <row r="8" spans="1:11" ht="60" customHeight="1" x14ac:dyDescent="0.25">
      <c r="A8" s="5" t="s">
        <v>37</v>
      </c>
      <c r="B8" s="5" t="s">
        <v>14</v>
      </c>
      <c r="C8" s="5" t="s">
        <v>38</v>
      </c>
      <c r="D8" s="5" t="s">
        <v>39</v>
      </c>
      <c r="E8" s="5" t="s">
        <v>40</v>
      </c>
      <c r="F8" s="5" t="s">
        <v>41</v>
      </c>
      <c r="G8" s="5" t="s">
        <v>42</v>
      </c>
      <c r="H8" s="13" t="s">
        <v>20</v>
      </c>
      <c r="I8" s="5" t="s">
        <v>43</v>
      </c>
      <c r="J8" s="5" t="s">
        <v>241</v>
      </c>
      <c r="K8" s="11">
        <v>46174</v>
      </c>
    </row>
    <row r="9" spans="1:11" ht="60" customHeight="1" x14ac:dyDescent="0.25">
      <c r="A9" s="5" t="s">
        <v>44</v>
      </c>
      <c r="B9" s="5" t="s">
        <v>14</v>
      </c>
      <c r="C9" s="5" t="s">
        <v>45</v>
      </c>
      <c r="D9" s="5" t="s">
        <v>46</v>
      </c>
      <c r="E9" s="5" t="s">
        <v>47</v>
      </c>
      <c r="F9" s="5" t="s">
        <v>48</v>
      </c>
      <c r="G9" s="5" t="s">
        <v>49</v>
      </c>
      <c r="H9" s="13" t="s">
        <v>20</v>
      </c>
      <c r="I9" s="5" t="s">
        <v>21</v>
      </c>
      <c r="J9" s="5" t="s">
        <v>241</v>
      </c>
      <c r="K9" s="11">
        <v>46174</v>
      </c>
    </row>
    <row r="10" spans="1:11" ht="60" customHeight="1" x14ac:dyDescent="0.25">
      <c r="A10" s="5" t="s">
        <v>50</v>
      </c>
      <c r="B10" s="5" t="s">
        <v>51</v>
      </c>
      <c r="C10" s="5" t="s">
        <v>52</v>
      </c>
      <c r="D10" s="5" t="s">
        <v>53</v>
      </c>
      <c r="E10" s="5" t="s">
        <v>54</v>
      </c>
      <c r="F10" s="5" t="s">
        <v>55</v>
      </c>
      <c r="G10" s="5" t="s">
        <v>56</v>
      </c>
      <c r="H10" s="13" t="s">
        <v>20</v>
      </c>
      <c r="I10" s="5" t="s">
        <v>21</v>
      </c>
      <c r="J10" s="5" t="s">
        <v>241</v>
      </c>
      <c r="K10" s="11">
        <v>46174</v>
      </c>
    </row>
    <row r="11" spans="1:11" ht="60" customHeight="1" x14ac:dyDescent="0.25">
      <c r="A11" s="5" t="s">
        <v>57</v>
      </c>
      <c r="B11" s="5" t="s">
        <v>51</v>
      </c>
      <c r="C11" s="5" t="s">
        <v>58</v>
      </c>
      <c r="D11" s="5" t="s">
        <v>59</v>
      </c>
      <c r="E11" s="5" t="s">
        <v>60</v>
      </c>
      <c r="F11" s="5" t="s">
        <v>61</v>
      </c>
      <c r="G11" s="5" t="s">
        <v>62</v>
      </c>
      <c r="H11" s="13" t="s">
        <v>20</v>
      </c>
      <c r="I11" s="5" t="s">
        <v>36</v>
      </c>
      <c r="J11" s="5" t="s">
        <v>241</v>
      </c>
      <c r="K11" s="11">
        <v>46174</v>
      </c>
    </row>
    <row r="12" spans="1:11" ht="60" customHeight="1" x14ac:dyDescent="0.25">
      <c r="A12" s="5" t="s">
        <v>63</v>
      </c>
      <c r="B12" s="5" t="s">
        <v>51</v>
      </c>
      <c r="C12" s="5" t="s">
        <v>64</v>
      </c>
      <c r="D12" s="5" t="s">
        <v>65</v>
      </c>
      <c r="E12" s="5" t="s">
        <v>66</v>
      </c>
      <c r="F12" s="5" t="s">
        <v>67</v>
      </c>
      <c r="G12" s="5" t="s">
        <v>68</v>
      </c>
      <c r="H12" s="13" t="s">
        <v>20</v>
      </c>
      <c r="I12" s="5" t="s">
        <v>36</v>
      </c>
      <c r="J12" s="5" t="s">
        <v>241</v>
      </c>
      <c r="K12" s="11">
        <v>46174</v>
      </c>
    </row>
    <row r="13" spans="1:11" ht="60" customHeight="1" x14ac:dyDescent="0.25">
      <c r="A13" s="5" t="s">
        <v>69</v>
      </c>
      <c r="B13" s="5" t="s">
        <v>51</v>
      </c>
      <c r="C13" s="5" t="s">
        <v>70</v>
      </c>
      <c r="D13" s="5" t="s">
        <v>71</v>
      </c>
      <c r="E13" s="5" t="s">
        <v>72</v>
      </c>
      <c r="F13" s="5" t="s">
        <v>73</v>
      </c>
      <c r="G13" s="5" t="s">
        <v>74</v>
      </c>
      <c r="H13" s="13" t="s">
        <v>20</v>
      </c>
      <c r="I13" s="5" t="s">
        <v>36</v>
      </c>
      <c r="J13" s="5" t="s">
        <v>241</v>
      </c>
      <c r="K13" s="11">
        <v>46174</v>
      </c>
    </row>
    <row r="14" spans="1:11" ht="60" customHeight="1" x14ac:dyDescent="0.25">
      <c r="A14" s="5" t="s">
        <v>75</v>
      </c>
      <c r="B14" s="5" t="s">
        <v>51</v>
      </c>
      <c r="C14" s="5" t="s">
        <v>76</v>
      </c>
      <c r="D14" s="5" t="s">
        <v>77</v>
      </c>
      <c r="E14" s="5" t="s">
        <v>78</v>
      </c>
      <c r="F14" s="5" t="s">
        <v>79</v>
      </c>
      <c r="G14" s="5" t="s">
        <v>80</v>
      </c>
      <c r="H14" s="14" t="s">
        <v>81</v>
      </c>
      <c r="I14" s="5" t="s">
        <v>43</v>
      </c>
      <c r="J14" s="5" t="s">
        <v>241</v>
      </c>
      <c r="K14" s="11">
        <v>46174</v>
      </c>
    </row>
    <row r="15" spans="1:11" ht="60" customHeight="1" x14ac:dyDescent="0.25">
      <c r="A15" s="5" t="s">
        <v>83</v>
      </c>
      <c r="B15" s="5" t="s">
        <v>84</v>
      </c>
      <c r="C15" s="5" t="s">
        <v>85</v>
      </c>
      <c r="D15" s="5" t="s">
        <v>86</v>
      </c>
      <c r="E15" s="5" t="s">
        <v>87</v>
      </c>
      <c r="F15" s="5" t="s">
        <v>88</v>
      </c>
      <c r="G15" s="5" t="s">
        <v>88</v>
      </c>
      <c r="H15" s="13" t="s">
        <v>20</v>
      </c>
      <c r="I15" s="5" t="s">
        <v>21</v>
      </c>
      <c r="J15" s="5" t="s">
        <v>241</v>
      </c>
      <c r="K15" s="11">
        <v>46174</v>
      </c>
    </row>
    <row r="16" spans="1:11" ht="60" customHeight="1" x14ac:dyDescent="0.25">
      <c r="A16" s="5" t="s">
        <v>89</v>
      </c>
      <c r="B16" s="5" t="s">
        <v>84</v>
      </c>
      <c r="C16" s="5" t="s">
        <v>90</v>
      </c>
      <c r="D16" s="5" t="s">
        <v>91</v>
      </c>
      <c r="E16" s="5" t="s">
        <v>92</v>
      </c>
      <c r="F16" s="5" t="s">
        <v>93</v>
      </c>
      <c r="G16" s="5" t="s">
        <v>94</v>
      </c>
      <c r="H16" s="13" t="s">
        <v>20</v>
      </c>
      <c r="I16" s="5" t="s">
        <v>36</v>
      </c>
      <c r="J16" s="5" t="s">
        <v>241</v>
      </c>
      <c r="K16" s="11">
        <v>46174</v>
      </c>
    </row>
    <row r="17" spans="1:11" ht="60" customHeight="1" x14ac:dyDescent="0.25">
      <c r="A17" s="5" t="s">
        <v>95</v>
      </c>
      <c r="B17" s="5" t="s">
        <v>84</v>
      </c>
      <c r="C17" s="5" t="s">
        <v>96</v>
      </c>
      <c r="D17" s="5" t="s">
        <v>97</v>
      </c>
      <c r="E17" s="5" t="s">
        <v>98</v>
      </c>
      <c r="F17" s="5" t="s">
        <v>99</v>
      </c>
      <c r="G17" s="5" t="s">
        <v>100</v>
      </c>
      <c r="H17" s="13" t="s">
        <v>20</v>
      </c>
      <c r="I17" s="5" t="s">
        <v>21</v>
      </c>
      <c r="J17" s="5" t="s">
        <v>241</v>
      </c>
      <c r="K17" s="11">
        <v>46174</v>
      </c>
    </row>
    <row r="18" spans="1:11" ht="60" customHeight="1" x14ac:dyDescent="0.25">
      <c r="A18" s="5" t="s">
        <v>101</v>
      </c>
      <c r="B18" s="5" t="s">
        <v>84</v>
      </c>
      <c r="C18" s="5" t="s">
        <v>102</v>
      </c>
      <c r="D18" s="5" t="s">
        <v>103</v>
      </c>
      <c r="E18" s="5" t="s">
        <v>104</v>
      </c>
      <c r="F18" s="5" t="s">
        <v>105</v>
      </c>
      <c r="G18" s="5" t="s">
        <v>106</v>
      </c>
      <c r="H18" s="14" t="s">
        <v>81</v>
      </c>
      <c r="I18" s="5" t="s">
        <v>36</v>
      </c>
      <c r="J18" s="5" t="s">
        <v>241</v>
      </c>
      <c r="K18" s="11">
        <v>46174</v>
      </c>
    </row>
    <row r="19" spans="1:11" ht="60" customHeight="1" x14ac:dyDescent="0.25">
      <c r="A19" s="5" t="s">
        <v>108</v>
      </c>
      <c r="B19" s="5" t="s">
        <v>109</v>
      </c>
      <c r="C19" s="5" t="s">
        <v>110</v>
      </c>
      <c r="D19" s="5" t="s">
        <v>111</v>
      </c>
      <c r="E19" s="5" t="s">
        <v>112</v>
      </c>
      <c r="F19" s="5" t="s">
        <v>113</v>
      </c>
      <c r="G19" s="5" t="s">
        <v>114</v>
      </c>
      <c r="H19" s="13" t="s">
        <v>20</v>
      </c>
      <c r="I19" s="5" t="s">
        <v>21</v>
      </c>
      <c r="J19" s="5" t="s">
        <v>241</v>
      </c>
      <c r="K19" s="11">
        <v>46174</v>
      </c>
    </row>
    <row r="20" spans="1:11" ht="60" customHeight="1" x14ac:dyDescent="0.25">
      <c r="A20" s="5" t="s">
        <v>115</v>
      </c>
      <c r="B20" s="5" t="s">
        <v>109</v>
      </c>
      <c r="C20" s="5" t="s">
        <v>116</v>
      </c>
      <c r="D20" s="5" t="s">
        <v>117</v>
      </c>
      <c r="E20" s="5" t="s">
        <v>118</v>
      </c>
      <c r="F20" s="5" t="s">
        <v>119</v>
      </c>
      <c r="G20" s="5" t="s">
        <v>120</v>
      </c>
      <c r="H20" s="13" t="s">
        <v>20</v>
      </c>
      <c r="I20" s="5" t="s">
        <v>36</v>
      </c>
      <c r="J20" s="5" t="s">
        <v>241</v>
      </c>
      <c r="K20" s="11">
        <v>46174</v>
      </c>
    </row>
    <row r="21" spans="1:11" ht="60" customHeight="1" x14ac:dyDescent="0.25">
      <c r="A21" s="5" t="s">
        <v>121</v>
      </c>
      <c r="B21" s="5" t="s">
        <v>109</v>
      </c>
      <c r="C21" s="5" t="s">
        <v>122</v>
      </c>
      <c r="D21" s="5" t="s">
        <v>123</v>
      </c>
      <c r="E21" s="5" t="s">
        <v>118</v>
      </c>
      <c r="F21" s="5" t="s">
        <v>124</v>
      </c>
      <c r="G21" s="5" t="s">
        <v>125</v>
      </c>
      <c r="H21" s="13" t="s">
        <v>20</v>
      </c>
      <c r="I21" s="5" t="s">
        <v>36</v>
      </c>
      <c r="J21" s="5" t="s">
        <v>241</v>
      </c>
      <c r="K21" s="11">
        <v>46174</v>
      </c>
    </row>
    <row r="22" spans="1:11" ht="60" customHeight="1" x14ac:dyDescent="0.25">
      <c r="A22" s="5" t="s">
        <v>126</v>
      </c>
      <c r="B22" s="5" t="s">
        <v>127</v>
      </c>
      <c r="C22" s="5" t="s">
        <v>128</v>
      </c>
      <c r="D22" s="5" t="s">
        <v>129</v>
      </c>
      <c r="E22" s="5" t="s">
        <v>130</v>
      </c>
      <c r="F22" s="5" t="s">
        <v>131</v>
      </c>
      <c r="G22" s="5" t="s">
        <v>132</v>
      </c>
      <c r="H22" s="13" t="s">
        <v>20</v>
      </c>
      <c r="I22" s="5" t="s">
        <v>36</v>
      </c>
      <c r="J22" s="5" t="s">
        <v>241</v>
      </c>
      <c r="K22" s="11">
        <v>46174</v>
      </c>
    </row>
    <row r="23" spans="1:11" ht="60" customHeight="1" x14ac:dyDescent="0.25">
      <c r="A23" s="5" t="s">
        <v>133</v>
      </c>
      <c r="B23" s="5" t="s">
        <v>127</v>
      </c>
      <c r="C23" s="5" t="s">
        <v>134</v>
      </c>
      <c r="D23" s="5" t="s">
        <v>135</v>
      </c>
      <c r="E23" s="5" t="s">
        <v>130</v>
      </c>
      <c r="F23" s="5" t="s">
        <v>136</v>
      </c>
      <c r="G23" s="5" t="s">
        <v>137</v>
      </c>
      <c r="H23" s="13" t="s">
        <v>20</v>
      </c>
      <c r="I23" s="5" t="s">
        <v>43</v>
      </c>
      <c r="J23" s="5" t="s">
        <v>241</v>
      </c>
      <c r="K23" s="11">
        <v>46174</v>
      </c>
    </row>
    <row r="24" spans="1:11" ht="60" customHeight="1" x14ac:dyDescent="0.25">
      <c r="A24" s="5" t="s">
        <v>138</v>
      </c>
      <c r="B24" s="5" t="s">
        <v>139</v>
      </c>
      <c r="C24" s="5" t="s">
        <v>140</v>
      </c>
      <c r="D24" s="5" t="s">
        <v>141</v>
      </c>
      <c r="E24" s="5" t="s">
        <v>130</v>
      </c>
      <c r="F24" s="5" t="s">
        <v>142</v>
      </c>
      <c r="G24" s="5" t="s">
        <v>143</v>
      </c>
      <c r="H24" s="14" t="s">
        <v>81</v>
      </c>
      <c r="I24" s="5" t="s">
        <v>21</v>
      </c>
      <c r="J24" s="5" t="s">
        <v>241</v>
      </c>
      <c r="K24" s="11">
        <v>46174</v>
      </c>
    </row>
  </sheetData>
  <mergeCells count="2">
    <mergeCell ref="A1:K1"/>
    <mergeCell ref="A2:K2"/>
  </mergeCells>
  <dataValidations count="1">
    <dataValidation type="list" allowBlank="1" sqref="H5:H224" xr:uid="{00000000-0002-0000-0000-000000000000}">
      <formula1>"Pass,Fail,Blocked,Not Executed"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2" width="12" style="3" customWidth="1"/>
    <col min="3" max="3" width="32" style="3" customWidth="1"/>
    <col min="4" max="4" width="34" style="3" customWidth="1"/>
    <col min="5" max="6" width="10" style="3" customWidth="1"/>
    <col min="7" max="7" width="14" style="3" customWidth="1"/>
    <col min="8" max="8" width="12" style="3" customWidth="1"/>
  </cols>
  <sheetData>
    <row r="1" spans="1:8" ht="17.25" customHeight="1" x14ac:dyDescent="0.25">
      <c r="A1" s="2" t="s">
        <v>145</v>
      </c>
      <c r="B1" s="2"/>
      <c r="C1" s="2"/>
      <c r="D1" s="2"/>
      <c r="E1" s="2"/>
      <c r="F1" s="2"/>
      <c r="G1" s="2"/>
      <c r="H1" s="2"/>
    </row>
    <row r="2" spans="1:8" ht="15" customHeight="1" x14ac:dyDescent="0.25">
      <c r="A2" s="1" t="s">
        <v>146</v>
      </c>
      <c r="B2" s="1"/>
      <c r="C2" s="1"/>
      <c r="D2" s="1"/>
      <c r="E2" s="1"/>
      <c r="F2" s="1"/>
      <c r="G2" s="1"/>
      <c r="H2" s="1"/>
    </row>
    <row r="4" spans="1:8" ht="15" customHeight="1" x14ac:dyDescent="0.25">
      <c r="A4" s="4" t="s">
        <v>1</v>
      </c>
      <c r="B4" s="4" t="s">
        <v>2</v>
      </c>
      <c r="C4" s="4" t="s">
        <v>3</v>
      </c>
      <c r="D4" s="4" t="s">
        <v>6</v>
      </c>
      <c r="E4" s="4" t="s">
        <v>8</v>
      </c>
      <c r="F4" s="4" t="s">
        <v>9</v>
      </c>
      <c r="G4" s="4" t="s">
        <v>10</v>
      </c>
      <c r="H4" s="4" t="s">
        <v>11</v>
      </c>
    </row>
    <row r="5" spans="1:8" ht="15" customHeight="1" x14ac:dyDescent="0.25">
      <c r="A5" s="5" t="s">
        <v>147</v>
      </c>
      <c r="B5" s="5" t="s">
        <v>14</v>
      </c>
      <c r="C5" s="5" t="s">
        <v>148</v>
      </c>
      <c r="D5" s="5" t="s">
        <v>149</v>
      </c>
      <c r="E5" s="5" t="s">
        <v>20</v>
      </c>
      <c r="F5" s="5" t="s">
        <v>21</v>
      </c>
      <c r="G5" s="5" t="s">
        <v>22</v>
      </c>
      <c r="H5" s="5" t="s">
        <v>23</v>
      </c>
    </row>
    <row r="6" spans="1:8" ht="15" customHeight="1" x14ac:dyDescent="0.25">
      <c r="A6" s="5" t="s">
        <v>150</v>
      </c>
      <c r="B6" s="5" t="s">
        <v>127</v>
      </c>
      <c r="C6" s="5" t="s">
        <v>151</v>
      </c>
      <c r="D6" s="5" t="s">
        <v>152</v>
      </c>
      <c r="E6" s="5" t="s">
        <v>20</v>
      </c>
      <c r="F6" s="5" t="s">
        <v>21</v>
      </c>
      <c r="G6" s="5" t="s">
        <v>22</v>
      </c>
      <c r="H6" s="5" t="s">
        <v>23</v>
      </c>
    </row>
    <row r="7" spans="1:8" ht="15" customHeight="1" x14ac:dyDescent="0.25">
      <c r="A7" s="5" t="s">
        <v>153</v>
      </c>
      <c r="B7" s="5" t="s">
        <v>51</v>
      </c>
      <c r="C7" s="5" t="s">
        <v>154</v>
      </c>
      <c r="D7" s="5" t="s">
        <v>155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5" customHeight="1" x14ac:dyDescent="0.25">
      <c r="A8" s="5" t="s">
        <v>156</v>
      </c>
      <c r="B8" s="5" t="s">
        <v>51</v>
      </c>
      <c r="C8" s="5" t="s">
        <v>157</v>
      </c>
      <c r="D8" s="5" t="s">
        <v>158</v>
      </c>
      <c r="E8" s="5" t="s">
        <v>20</v>
      </c>
      <c r="F8" s="5" t="s">
        <v>21</v>
      </c>
      <c r="G8" s="5" t="s">
        <v>22</v>
      </c>
      <c r="H8" s="5" t="s">
        <v>23</v>
      </c>
    </row>
    <row r="9" spans="1:8" ht="15" customHeight="1" x14ac:dyDescent="0.25">
      <c r="A9" s="5" t="s">
        <v>159</v>
      </c>
      <c r="B9" s="5" t="s">
        <v>84</v>
      </c>
      <c r="C9" s="5" t="s">
        <v>160</v>
      </c>
      <c r="D9" s="5" t="s">
        <v>161</v>
      </c>
      <c r="E9" s="5" t="s">
        <v>20</v>
      </c>
      <c r="F9" s="5" t="s">
        <v>21</v>
      </c>
      <c r="G9" s="5" t="s">
        <v>22</v>
      </c>
      <c r="H9" s="5" t="s">
        <v>23</v>
      </c>
    </row>
    <row r="10" spans="1:8" ht="23.25" customHeight="1" x14ac:dyDescent="0.25">
      <c r="A10" s="5" t="s">
        <v>162</v>
      </c>
      <c r="B10" s="5" t="s">
        <v>84</v>
      </c>
      <c r="C10" s="5" t="s">
        <v>163</v>
      </c>
      <c r="D10" s="5" t="s">
        <v>164</v>
      </c>
      <c r="E10" s="5" t="s">
        <v>20</v>
      </c>
      <c r="F10" s="5" t="s">
        <v>21</v>
      </c>
      <c r="G10" s="5" t="s">
        <v>22</v>
      </c>
      <c r="H10" s="5" t="s">
        <v>23</v>
      </c>
    </row>
    <row r="11" spans="1:8" ht="15" customHeight="1" x14ac:dyDescent="0.25">
      <c r="A11" s="5" t="s">
        <v>165</v>
      </c>
      <c r="B11" s="5" t="s">
        <v>109</v>
      </c>
      <c r="C11" s="5" t="s">
        <v>166</v>
      </c>
      <c r="D11" s="5" t="s">
        <v>167</v>
      </c>
      <c r="E11" s="5" t="s">
        <v>20</v>
      </c>
      <c r="F11" s="5" t="s">
        <v>21</v>
      </c>
      <c r="G11" s="5" t="s">
        <v>22</v>
      </c>
      <c r="H11" s="5" t="s">
        <v>23</v>
      </c>
    </row>
    <row r="12" spans="1:8" ht="15" customHeight="1" x14ac:dyDescent="0.25">
      <c r="A12" s="5" t="s">
        <v>168</v>
      </c>
      <c r="B12" s="5" t="s">
        <v>139</v>
      </c>
      <c r="C12" s="5" t="s">
        <v>169</v>
      </c>
      <c r="D12" s="5" t="s">
        <v>170</v>
      </c>
      <c r="E12" s="5" t="s">
        <v>20</v>
      </c>
      <c r="F12" s="5" t="s">
        <v>21</v>
      </c>
      <c r="G12" s="5" t="s">
        <v>22</v>
      </c>
      <c r="H12" s="5" t="s">
        <v>23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2" width="12" style="3" customWidth="1"/>
    <col min="3" max="3" width="32" style="3" customWidth="1"/>
    <col min="4" max="4" width="34" style="3" customWidth="1"/>
    <col min="5" max="6" width="10" style="3" customWidth="1"/>
    <col min="7" max="7" width="14" style="3" customWidth="1"/>
    <col min="8" max="8" width="12" style="3" customWidth="1"/>
  </cols>
  <sheetData>
    <row r="1" spans="1:8" ht="17.25" customHeight="1" x14ac:dyDescent="0.25">
      <c r="A1" s="2" t="s">
        <v>171</v>
      </c>
      <c r="B1" s="2"/>
      <c r="C1" s="2"/>
      <c r="D1" s="2"/>
      <c r="E1" s="2"/>
      <c r="F1" s="2"/>
      <c r="G1" s="2"/>
      <c r="H1" s="2"/>
    </row>
    <row r="2" spans="1:8" ht="15" customHeight="1" x14ac:dyDescent="0.25">
      <c r="A2" s="1" t="s">
        <v>172</v>
      </c>
      <c r="B2" s="1"/>
      <c r="C2" s="1"/>
      <c r="D2" s="1"/>
      <c r="E2" s="1"/>
      <c r="F2" s="1"/>
      <c r="G2" s="1"/>
      <c r="H2" s="1"/>
    </row>
    <row r="4" spans="1:8" ht="15" customHeight="1" x14ac:dyDescent="0.25">
      <c r="A4" s="4" t="s">
        <v>1</v>
      </c>
      <c r="B4" s="4" t="s">
        <v>2</v>
      </c>
      <c r="C4" s="4" t="s">
        <v>3</v>
      </c>
      <c r="D4" s="4" t="s">
        <v>6</v>
      </c>
      <c r="E4" s="4" t="s">
        <v>8</v>
      </c>
      <c r="F4" s="4" t="s">
        <v>9</v>
      </c>
      <c r="G4" s="4" t="s">
        <v>10</v>
      </c>
      <c r="H4" s="4" t="s">
        <v>11</v>
      </c>
    </row>
    <row r="5" spans="1:8" ht="15" customHeight="1" x14ac:dyDescent="0.25">
      <c r="A5" s="5" t="s">
        <v>173</v>
      </c>
      <c r="B5" s="5" t="s">
        <v>14</v>
      </c>
      <c r="C5" s="5" t="s">
        <v>174</v>
      </c>
      <c r="D5" s="5" t="s">
        <v>149</v>
      </c>
      <c r="E5" s="5" t="s">
        <v>20</v>
      </c>
      <c r="F5" s="5" t="s">
        <v>21</v>
      </c>
      <c r="G5" s="5" t="s">
        <v>22</v>
      </c>
      <c r="H5" s="5" t="s">
        <v>175</v>
      </c>
    </row>
    <row r="6" spans="1:8" ht="15" customHeight="1" x14ac:dyDescent="0.25">
      <c r="A6" s="5" t="s">
        <v>176</v>
      </c>
      <c r="B6" s="5" t="s">
        <v>51</v>
      </c>
      <c r="C6" s="5" t="s">
        <v>177</v>
      </c>
      <c r="D6" s="5" t="s">
        <v>158</v>
      </c>
      <c r="E6" s="5" t="s">
        <v>20</v>
      </c>
      <c r="F6" s="5" t="s">
        <v>21</v>
      </c>
      <c r="G6" s="5" t="s">
        <v>22</v>
      </c>
      <c r="H6" s="5" t="s">
        <v>175</v>
      </c>
    </row>
    <row r="7" spans="1:8" ht="15" customHeight="1" x14ac:dyDescent="0.25">
      <c r="A7" s="5" t="s">
        <v>178</v>
      </c>
      <c r="B7" s="5" t="s">
        <v>51</v>
      </c>
      <c r="C7" s="5" t="s">
        <v>179</v>
      </c>
      <c r="D7" s="5" t="s">
        <v>180</v>
      </c>
      <c r="E7" s="5" t="s">
        <v>20</v>
      </c>
      <c r="F7" s="5" t="s">
        <v>36</v>
      </c>
      <c r="G7" s="5" t="s">
        <v>22</v>
      </c>
      <c r="H7" s="5" t="s">
        <v>175</v>
      </c>
    </row>
    <row r="8" spans="1:8" ht="15" customHeight="1" x14ac:dyDescent="0.25">
      <c r="A8" s="5" t="s">
        <v>181</v>
      </c>
      <c r="B8" s="5" t="s">
        <v>51</v>
      </c>
      <c r="C8" s="5" t="s">
        <v>182</v>
      </c>
      <c r="D8" s="5" t="s">
        <v>183</v>
      </c>
      <c r="E8" s="5" t="s">
        <v>20</v>
      </c>
      <c r="F8" s="5" t="s">
        <v>36</v>
      </c>
      <c r="G8" s="5" t="s">
        <v>22</v>
      </c>
      <c r="H8" s="5" t="s">
        <v>175</v>
      </c>
    </row>
    <row r="9" spans="1:8" ht="15" customHeight="1" x14ac:dyDescent="0.25">
      <c r="A9" s="5" t="s">
        <v>184</v>
      </c>
      <c r="B9" s="5" t="s">
        <v>84</v>
      </c>
      <c r="C9" s="5" t="s">
        <v>185</v>
      </c>
      <c r="D9" s="5" t="s">
        <v>186</v>
      </c>
      <c r="E9" s="5" t="s">
        <v>20</v>
      </c>
      <c r="F9" s="5" t="s">
        <v>21</v>
      </c>
      <c r="G9" s="5" t="s">
        <v>22</v>
      </c>
      <c r="H9" s="5" t="s">
        <v>175</v>
      </c>
    </row>
    <row r="10" spans="1:8" ht="15" customHeight="1" x14ac:dyDescent="0.25">
      <c r="A10" s="5" t="s">
        <v>187</v>
      </c>
      <c r="B10" s="5" t="s">
        <v>84</v>
      </c>
      <c r="C10" s="5" t="s">
        <v>188</v>
      </c>
      <c r="D10" s="5" t="s">
        <v>189</v>
      </c>
      <c r="E10" s="5" t="s">
        <v>20</v>
      </c>
      <c r="F10" s="5" t="s">
        <v>21</v>
      </c>
      <c r="G10" s="5" t="s">
        <v>22</v>
      </c>
      <c r="H10" s="5" t="s">
        <v>175</v>
      </c>
    </row>
    <row r="11" spans="1:8" ht="15" customHeight="1" x14ac:dyDescent="0.25">
      <c r="A11" s="5" t="s">
        <v>190</v>
      </c>
      <c r="B11" s="5" t="s">
        <v>109</v>
      </c>
      <c r="C11" s="5" t="s">
        <v>191</v>
      </c>
      <c r="D11" s="5" t="s">
        <v>192</v>
      </c>
      <c r="E11" s="5" t="s">
        <v>20</v>
      </c>
      <c r="F11" s="5" t="s">
        <v>36</v>
      </c>
      <c r="G11" s="5" t="s">
        <v>22</v>
      </c>
      <c r="H11" s="5" t="s">
        <v>175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0" style="3" customWidth="1"/>
    <col min="2" max="2" width="22" style="3" customWidth="1"/>
    <col min="3" max="3" width="40" style="3" customWidth="1"/>
    <col min="4" max="4" width="10" style="3" customWidth="1"/>
    <col min="5" max="5" width="14" style="3" customWidth="1"/>
    <col min="6" max="6" width="12" style="3" customWidth="1"/>
  </cols>
  <sheetData>
    <row r="1" spans="1:6" ht="17.25" customHeight="1" x14ac:dyDescent="0.25">
      <c r="A1" s="2" t="s">
        <v>193</v>
      </c>
      <c r="B1" s="2"/>
      <c r="C1" s="2"/>
      <c r="D1" s="2"/>
      <c r="E1" s="2"/>
      <c r="F1" s="2"/>
    </row>
    <row r="2" spans="1:6" ht="15" customHeight="1" x14ac:dyDescent="0.25">
      <c r="A2" s="1" t="s">
        <v>194</v>
      </c>
      <c r="B2" s="1"/>
      <c r="C2" s="1"/>
      <c r="D2" s="1"/>
      <c r="E2" s="1"/>
      <c r="F2" s="1"/>
    </row>
    <row r="4" spans="1:6" ht="15" customHeight="1" x14ac:dyDescent="0.25">
      <c r="A4" s="4" t="s">
        <v>195</v>
      </c>
      <c r="B4" s="4" t="s">
        <v>196</v>
      </c>
      <c r="C4" s="4" t="s">
        <v>197</v>
      </c>
      <c r="D4" s="4" t="s">
        <v>198</v>
      </c>
      <c r="E4" s="4" t="s">
        <v>10</v>
      </c>
      <c r="F4" s="4" t="s">
        <v>11</v>
      </c>
    </row>
    <row r="5" spans="1:6" ht="23.25" customHeight="1" x14ac:dyDescent="0.25">
      <c r="A5" s="5" t="s">
        <v>199</v>
      </c>
      <c r="B5" s="5" t="s">
        <v>200</v>
      </c>
      <c r="C5" s="5" t="s">
        <v>201</v>
      </c>
      <c r="D5" s="5" t="s">
        <v>20</v>
      </c>
      <c r="E5" s="5" t="s">
        <v>22</v>
      </c>
      <c r="F5" s="5" t="s">
        <v>202</v>
      </c>
    </row>
    <row r="6" spans="1:6" ht="23.25" customHeight="1" x14ac:dyDescent="0.25">
      <c r="A6" s="5" t="s">
        <v>203</v>
      </c>
      <c r="B6" s="5" t="s">
        <v>204</v>
      </c>
      <c r="C6" s="5" t="s">
        <v>205</v>
      </c>
      <c r="D6" s="5" t="s">
        <v>20</v>
      </c>
      <c r="E6" s="5" t="s">
        <v>22</v>
      </c>
      <c r="F6" s="5" t="s">
        <v>202</v>
      </c>
    </row>
    <row r="7" spans="1:6" ht="23.25" customHeight="1" x14ac:dyDescent="0.25">
      <c r="A7" s="5" t="s">
        <v>206</v>
      </c>
      <c r="B7" s="5" t="s">
        <v>207</v>
      </c>
      <c r="C7" s="5" t="s">
        <v>208</v>
      </c>
      <c r="D7" s="5" t="s">
        <v>20</v>
      </c>
      <c r="E7" s="5" t="s">
        <v>22</v>
      </c>
      <c r="F7" s="5" t="s">
        <v>202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2" width="10" style="3" customWidth="1"/>
    <col min="3" max="3" width="12" style="3" customWidth="1"/>
    <col min="4" max="4" width="34" style="3" customWidth="1"/>
    <col min="5" max="5" width="30" style="3" customWidth="1"/>
    <col min="6" max="7" width="10" style="3" customWidth="1"/>
    <col min="8" max="10" width="12" style="3" customWidth="1"/>
  </cols>
  <sheetData>
    <row r="1" spans="1:10" ht="17.25" customHeight="1" x14ac:dyDescent="0.25">
      <c r="A1" s="2" t="s">
        <v>209</v>
      </c>
      <c r="B1" s="2"/>
      <c r="C1" s="2"/>
      <c r="D1" s="2"/>
      <c r="E1" s="2"/>
      <c r="F1" s="2"/>
      <c r="G1" s="2"/>
      <c r="H1" s="2"/>
      <c r="I1" s="2"/>
      <c r="J1" s="2"/>
    </row>
    <row r="2" spans="1:10" ht="15" customHeight="1" x14ac:dyDescent="0.25">
      <c r="A2" s="1" t="s">
        <v>210</v>
      </c>
      <c r="B2" s="1"/>
      <c r="C2" s="1"/>
      <c r="D2" s="1"/>
      <c r="E2" s="1"/>
      <c r="F2" s="1"/>
      <c r="G2" s="1"/>
      <c r="H2" s="1"/>
      <c r="I2" s="1"/>
      <c r="J2" s="1"/>
    </row>
    <row r="4" spans="1:10" ht="15" customHeight="1" x14ac:dyDescent="0.25">
      <c r="A4" s="4" t="s">
        <v>211</v>
      </c>
      <c r="B4" s="4" t="s">
        <v>12</v>
      </c>
      <c r="C4" s="4" t="s">
        <v>2</v>
      </c>
      <c r="D4" s="4" t="s">
        <v>212</v>
      </c>
      <c r="E4" s="4" t="s">
        <v>213</v>
      </c>
      <c r="F4" s="4" t="s">
        <v>214</v>
      </c>
      <c r="G4" s="4" t="s">
        <v>9</v>
      </c>
      <c r="H4" s="4" t="s">
        <v>8</v>
      </c>
      <c r="I4" s="4" t="s">
        <v>215</v>
      </c>
      <c r="J4" s="4" t="s">
        <v>216</v>
      </c>
    </row>
    <row r="5" spans="1:10" ht="34.5" customHeight="1" x14ac:dyDescent="0.25">
      <c r="A5" s="5" t="s">
        <v>217</v>
      </c>
      <c r="B5" s="5" t="s">
        <v>82</v>
      </c>
      <c r="C5" s="5" t="s">
        <v>51</v>
      </c>
      <c r="D5" s="5" t="s">
        <v>218</v>
      </c>
      <c r="E5" s="5" t="s">
        <v>219</v>
      </c>
      <c r="F5" s="5" t="s">
        <v>36</v>
      </c>
      <c r="G5" s="5" t="s">
        <v>36</v>
      </c>
      <c r="H5" s="5" t="s">
        <v>220</v>
      </c>
      <c r="I5" s="5" t="s">
        <v>221</v>
      </c>
      <c r="J5" s="5" t="s">
        <v>23</v>
      </c>
    </row>
    <row r="6" spans="1:10" ht="34.5" customHeight="1" x14ac:dyDescent="0.25">
      <c r="A6" s="5" t="s">
        <v>222</v>
      </c>
      <c r="B6" s="5" t="s">
        <v>107</v>
      </c>
      <c r="C6" s="5" t="s">
        <v>84</v>
      </c>
      <c r="D6" s="5" t="s">
        <v>223</v>
      </c>
      <c r="E6" s="5" t="s">
        <v>224</v>
      </c>
      <c r="F6" s="5" t="s">
        <v>43</v>
      </c>
      <c r="G6" s="5" t="s">
        <v>43</v>
      </c>
      <c r="H6" s="5" t="s">
        <v>220</v>
      </c>
      <c r="I6" s="5" t="s">
        <v>221</v>
      </c>
      <c r="J6" s="5" t="s">
        <v>175</v>
      </c>
    </row>
    <row r="7" spans="1:10" ht="34.5" customHeight="1" x14ac:dyDescent="0.25">
      <c r="A7" s="5" t="s">
        <v>225</v>
      </c>
      <c r="B7" s="5" t="s">
        <v>144</v>
      </c>
      <c r="C7" s="5" t="s">
        <v>14</v>
      </c>
      <c r="D7" s="5" t="s">
        <v>226</v>
      </c>
      <c r="E7" s="5" t="s">
        <v>227</v>
      </c>
      <c r="F7" s="5" t="s">
        <v>43</v>
      </c>
      <c r="G7" s="5" t="s">
        <v>43</v>
      </c>
      <c r="H7" s="5" t="s">
        <v>228</v>
      </c>
      <c r="I7" s="5" t="s">
        <v>221</v>
      </c>
      <c r="J7" s="5" t="s">
        <v>175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"/>
  <sheetViews>
    <sheetView showGridLines="0" zoomScaleNormal="100" workbookViewId="0"/>
  </sheetViews>
  <sheetFormatPr defaultColWidth="8.7109375" defaultRowHeight="15" x14ac:dyDescent="0.25"/>
  <cols>
    <col min="1" max="1" width="22" style="3" customWidth="1"/>
    <col min="2" max="2" width="14" style="3" customWidth="1"/>
  </cols>
  <sheetData>
    <row r="1" spans="1:3" ht="17.25" customHeight="1" x14ac:dyDescent="0.25">
      <c r="A1" s="2" t="s">
        <v>229</v>
      </c>
      <c r="B1" s="2"/>
      <c r="C1" s="2"/>
    </row>
    <row r="3" spans="1:3" ht="15" customHeight="1" x14ac:dyDescent="0.25">
      <c r="A3" s="4" t="s">
        <v>230</v>
      </c>
      <c r="B3" s="4" t="s">
        <v>231</v>
      </c>
    </row>
    <row r="4" spans="1:3" ht="15" customHeight="1" x14ac:dyDescent="0.25">
      <c r="A4" s="6" t="s">
        <v>232</v>
      </c>
      <c r="B4" s="6">
        <f>COUNTA('Functional Test Cases'!A5:A24)</f>
        <v>20</v>
      </c>
    </row>
    <row r="5" spans="1:3" ht="15" customHeight="1" x14ac:dyDescent="0.25">
      <c r="A5" s="6" t="s">
        <v>233</v>
      </c>
      <c r="B5" s="6">
        <f>COUNTIF('Functional Test Cases'!H5:H24,"Pass")</f>
        <v>17</v>
      </c>
    </row>
    <row r="6" spans="1:3" ht="15" customHeight="1" x14ac:dyDescent="0.25">
      <c r="A6" s="6" t="s">
        <v>234</v>
      </c>
      <c r="B6" s="6">
        <f>COUNTIF('Functional Test Cases'!H5:H24,"Fail")</f>
        <v>3</v>
      </c>
    </row>
    <row r="7" spans="1:3" ht="15" customHeight="1" x14ac:dyDescent="0.25">
      <c r="A7" s="6" t="s">
        <v>235</v>
      </c>
      <c r="B7" s="6">
        <f>COUNTIF('Functional Test Cases'!H5:H24,"Blocked")</f>
        <v>0</v>
      </c>
    </row>
    <row r="8" spans="1:3" ht="15" customHeight="1" x14ac:dyDescent="0.25">
      <c r="A8" s="6" t="s">
        <v>236</v>
      </c>
      <c r="B8" s="7">
        <f>COUNTIF('Functional Test Cases'!H5:H24,"Not Executed")</f>
        <v>0</v>
      </c>
    </row>
    <row r="9" spans="1:3" ht="15" customHeight="1" x14ac:dyDescent="0.25">
      <c r="A9" s="3" t="s">
        <v>237</v>
      </c>
      <c r="B9" s="8">
        <f>B5/B4</f>
        <v>0.85</v>
      </c>
    </row>
    <row r="11" spans="1:3" ht="15" customHeight="1" x14ac:dyDescent="0.25">
      <c r="A11" s="9" t="s">
        <v>238</v>
      </c>
    </row>
    <row r="12" spans="1:3" ht="15" customHeight="1" x14ac:dyDescent="0.25">
      <c r="A12" s="6" t="s">
        <v>239</v>
      </c>
      <c r="B12" s="6">
        <f>COUNTA('Defect Log'!A5:A100)</f>
        <v>3</v>
      </c>
    </row>
    <row r="13" spans="1:3" ht="15" customHeight="1" x14ac:dyDescent="0.25">
      <c r="A13" s="6" t="s">
        <v>220</v>
      </c>
      <c r="B13" s="6">
        <f>COUNTIF('Defect Log'!H5:H100,"Open")</f>
        <v>2</v>
      </c>
    </row>
    <row r="14" spans="1:3" ht="15" customHeight="1" x14ac:dyDescent="0.25">
      <c r="A14" s="6" t="s">
        <v>228</v>
      </c>
      <c r="B14" s="6">
        <f>COUNTIF('Defect Log'!H5:H100,"In Progress")</f>
        <v>1</v>
      </c>
    </row>
    <row r="15" spans="1:3" ht="15" customHeight="1" x14ac:dyDescent="0.25">
      <c r="A15" s="6" t="s">
        <v>240</v>
      </c>
      <c r="B15" s="6">
        <f>COUNTIF('Defect Log'!H5:H100,"Closed")</f>
        <v>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Functional Test Cases</vt:lpstr>
      <vt:lpstr>Smoke Test Suite</vt:lpstr>
      <vt:lpstr>Regression Suite</vt:lpstr>
      <vt:lpstr>Sanity Checklist</vt:lpstr>
      <vt:lpstr>Defect Log</vt:lpstr>
      <vt:lpstr>Test 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UDUWANA G.S it23653740</cp:lastModifiedBy>
  <cp:revision>0</cp:revision>
  <dcterms:created xsi:type="dcterms:W3CDTF">2026-07-05T14:37:25Z</dcterms:created>
  <dcterms:modified xsi:type="dcterms:W3CDTF">2026-07-05T15:15:57Z</dcterms:modified>
  <dc:language>en-US</dc:language>
</cp:coreProperties>
</file>